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CeBlWQcjx4K5QAG7JPrqwwydEXykSqiRLsVitfJv2Vg="/>
    </ext>
  </extLst>
</workbook>
</file>

<file path=xl/sharedStrings.xml><?xml version="1.0" encoding="utf-8"?>
<sst xmlns="http://schemas.openxmlformats.org/spreadsheetml/2006/main" count="19" uniqueCount="19">
  <si>
    <t>Control del Sprint 1 en 2 semanas</t>
  </si>
  <si>
    <t>Historias de Usuario o Spike</t>
  </si>
  <si>
    <t>horas estimadas</t>
  </si>
  <si>
    <t>DIA</t>
  </si>
  <si>
    <t>Total</t>
  </si>
  <si>
    <t>HU-01 Registrar nuevo producto</t>
  </si>
  <si>
    <t>HU-02 Editar producto existente</t>
  </si>
  <si>
    <t>HU-03 Eliminar un producto</t>
  </si>
  <si>
    <t>HU-04 Buscar y filtrar productos del sistema</t>
  </si>
  <si>
    <t>HU-05 Visualizar detalle de un producto</t>
  </si>
  <si>
    <t>HU-26 Registrar Proveedor</t>
  </si>
  <si>
    <t>HU-27 Asignar Proveedor</t>
  </si>
  <si>
    <t>HU-30 Inicio de Sesión</t>
  </si>
  <si>
    <t>HU-31 Recuperar Contraseña</t>
  </si>
  <si>
    <t>HU-32 Cerrar Sesión</t>
  </si>
  <si>
    <t>HU-34 Cierre Automático</t>
  </si>
  <si>
    <t>Total por dia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</si>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</sst>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2" fontId="2" numFmtId="0" xfId="0" applyAlignment="1" applyBorder="1" applyFill="1" applyFont="1">
      <alignment horizontal="center" shrinkToFit="0" vertical="bottom" wrapText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Alignment="1" applyBorder="1" applyFill="1" applyFont="1">
      <alignment shrinkToFit="0" vertical="bottom" wrapText="0"/>
    </xf>
    <xf borderId="7" fillId="0" fontId="3" numFmtId="0" xfId="0" applyBorder="1" applyFont="1"/>
    <xf borderId="8" fillId="3" fontId="2" numFmtId="0" xfId="0" applyAlignment="1" applyBorder="1" applyFill="1" applyFont="1">
      <alignment shrinkToFit="0" vertical="bottom" wrapText="0"/>
    </xf>
    <xf borderId="8" fillId="3" fontId="2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1"/>
    </xf>
    <xf borderId="8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19050">
              <a:solidFill>
                <a:srgbClr val="4472C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Ejemplo1!$C$18:$V$18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19050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Ejemplo1!$C$20:$V$20</c:f>
              <c:numCache/>
            </c:numRef>
          </c:val>
          <c:smooth val="0"/>
        </c:ser>
        <c:axId val="712462847"/>
        <c:axId val="80569404"/>
      </c:lineChart>
      <c:catAx>
        <c:axId val="712462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80569404"/>
      </c:catAx>
      <c:valAx>
        <c:axId val="80569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71246284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76200</xdr:rowOff>
    </xdr:from>
    <xdr:ext cx="4114800" cy="3295650"/>
    <xdr:graphicFrame>
      <xdr:nvGraphicFramePr>
        <xdr:cNvPr id="2365072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17.0"/>
    <col customWidth="1" min="3" max="4" width="5.57"/>
    <col customWidth="1" min="5" max="5" width="5.43"/>
    <col customWidth="1" min="6" max="6" width="6.0"/>
    <col customWidth="1" min="7" max="7" width="5.29"/>
    <col customWidth="1" min="8" max="18" width="3.43"/>
    <col customWidth="1" min="19" max="19" width="4.86"/>
    <col customWidth="1" min="20" max="20" width="3.43"/>
    <col customWidth="1" min="21" max="21" width="4.29"/>
    <col customWidth="1" min="22" max="22" width="3.43"/>
    <col customWidth="1" min="23" max="23" width="10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0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4</v>
      </c>
      <c r="X3" s="2"/>
      <c r="Y3" s="2"/>
      <c r="Z3" s="2"/>
      <c r="AA3" s="2"/>
      <c r="AB3" s="2"/>
    </row>
    <row r="4" ht="15.0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9"/>
      <c r="X4" s="2"/>
      <c r="Y4" s="2"/>
      <c r="Z4" s="2"/>
      <c r="AA4" s="2"/>
      <c r="AB4" s="2"/>
    </row>
    <row r="5" ht="15.0" customHeight="1">
      <c r="A5" s="10" t="s">
        <v>5</v>
      </c>
      <c r="B5" s="11">
        <v>27.0</v>
      </c>
      <c r="C5" s="10">
        <v>6.0</v>
      </c>
      <c r="D5" s="10">
        <v>6.0</v>
      </c>
      <c r="E5" s="10">
        <v>6.0</v>
      </c>
      <c r="F5" s="10">
        <v>6.0</v>
      </c>
      <c r="G5" s="10">
        <v>3.0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2">
        <f t="shared" ref="W5:W16" si="1">SUM(C5:V5)</f>
        <v>27</v>
      </c>
      <c r="X5" s="2"/>
      <c r="Y5" s="2"/>
      <c r="Z5" s="2"/>
      <c r="AA5" s="2"/>
      <c r="AB5" s="2"/>
    </row>
    <row r="6" ht="15.0" customHeight="1">
      <c r="A6" s="10" t="s">
        <v>6</v>
      </c>
      <c r="B6" s="11">
        <v>9.0</v>
      </c>
      <c r="C6" s="10"/>
      <c r="D6" s="10"/>
      <c r="E6" s="10"/>
      <c r="F6" s="10"/>
      <c r="G6" s="10">
        <v>3.0</v>
      </c>
      <c r="H6" s="10">
        <v>6.0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2">
        <f t="shared" si="1"/>
        <v>9</v>
      </c>
      <c r="X6" s="2"/>
      <c r="Y6" s="2"/>
      <c r="Z6" s="2"/>
      <c r="AA6" s="2"/>
      <c r="AB6" s="2"/>
    </row>
    <row r="7" ht="15.0" customHeight="1">
      <c r="A7" s="10" t="s">
        <v>7</v>
      </c>
      <c r="B7" s="11">
        <v>9.0</v>
      </c>
      <c r="C7" s="10"/>
      <c r="D7" s="10"/>
      <c r="E7" s="10"/>
      <c r="F7" s="10"/>
      <c r="G7" s="10"/>
      <c r="H7" s="10"/>
      <c r="I7" s="10">
        <v>6.0</v>
      </c>
      <c r="J7" s="10">
        <v>3.0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2">
        <f t="shared" si="1"/>
        <v>9</v>
      </c>
      <c r="X7" s="2"/>
      <c r="Y7" s="2"/>
      <c r="Z7" s="2"/>
      <c r="AA7" s="2"/>
      <c r="AB7" s="2"/>
    </row>
    <row r="8" ht="15.0" customHeight="1">
      <c r="A8" s="10" t="s">
        <v>8</v>
      </c>
      <c r="B8" s="11">
        <v>11.0</v>
      </c>
      <c r="C8" s="10"/>
      <c r="D8" s="10"/>
      <c r="E8" s="10"/>
      <c r="F8" s="10"/>
      <c r="G8" s="10"/>
      <c r="H8" s="10"/>
      <c r="I8" s="10"/>
      <c r="J8" s="10">
        <v>3.0</v>
      </c>
      <c r="K8" s="10">
        <v>6.0</v>
      </c>
      <c r="L8" s="10">
        <v>2.0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2">
        <f t="shared" si="1"/>
        <v>11</v>
      </c>
      <c r="X8" s="2"/>
      <c r="Y8" s="2"/>
      <c r="Z8" s="2"/>
      <c r="AA8" s="2"/>
      <c r="AB8" s="2"/>
    </row>
    <row r="9" ht="15.0" customHeight="1">
      <c r="A9" s="10" t="s">
        <v>9</v>
      </c>
      <c r="B9" s="11">
        <v>6.0</v>
      </c>
      <c r="C9" s="10"/>
      <c r="D9" s="10"/>
      <c r="E9" s="10"/>
      <c r="F9" s="10"/>
      <c r="G9" s="10"/>
      <c r="H9" s="10"/>
      <c r="I9" s="10"/>
      <c r="J9" s="10"/>
      <c r="K9" s="10"/>
      <c r="L9" s="10">
        <v>4.0</v>
      </c>
      <c r="M9" s="10">
        <v>2.0</v>
      </c>
      <c r="N9" s="10"/>
      <c r="O9" s="10"/>
      <c r="P9" s="10"/>
      <c r="Q9" s="10"/>
      <c r="R9" s="10"/>
      <c r="S9" s="10"/>
      <c r="T9" s="10"/>
      <c r="U9" s="10"/>
      <c r="V9" s="10"/>
      <c r="W9" s="12">
        <f t="shared" si="1"/>
        <v>6</v>
      </c>
      <c r="X9" s="2"/>
      <c r="Y9" s="2"/>
      <c r="Z9" s="2"/>
      <c r="AA9" s="2"/>
      <c r="AB9" s="2"/>
    </row>
    <row r="10" ht="15.0" customHeight="1">
      <c r="A10" s="10" t="s">
        <v>10</v>
      </c>
      <c r="B10" s="11">
        <v>9.0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>
        <v>4.0</v>
      </c>
      <c r="N10" s="10">
        <v>5.0</v>
      </c>
      <c r="O10" s="10"/>
      <c r="P10" s="10"/>
      <c r="Q10" s="10"/>
      <c r="R10" s="10"/>
      <c r="S10" s="10"/>
      <c r="T10" s="10"/>
      <c r="U10" s="10"/>
      <c r="V10" s="10"/>
      <c r="W10" s="12">
        <f t="shared" si="1"/>
        <v>9</v>
      </c>
      <c r="X10" s="2"/>
      <c r="Y10" s="2"/>
      <c r="Z10" s="2"/>
      <c r="AA10" s="2"/>
      <c r="AB10" s="2"/>
    </row>
    <row r="11" ht="15.0" customHeight="1">
      <c r="A11" s="10" t="s">
        <v>11</v>
      </c>
      <c r="B11" s="11">
        <v>13.0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>
        <v>1.0</v>
      </c>
      <c r="O11" s="10">
        <v>6.0</v>
      </c>
      <c r="P11" s="10">
        <v>6.0</v>
      </c>
      <c r="Q11" s="10"/>
      <c r="R11" s="10"/>
      <c r="S11" s="10"/>
      <c r="T11" s="10"/>
      <c r="U11" s="10"/>
      <c r="V11" s="10"/>
      <c r="W11" s="12">
        <f t="shared" si="1"/>
        <v>13</v>
      </c>
      <c r="X11" s="2"/>
      <c r="Y11" s="2"/>
      <c r="Z11" s="2"/>
      <c r="AA11" s="2"/>
      <c r="AB11" s="2"/>
    </row>
    <row r="12" ht="15.0" customHeight="1">
      <c r="A12" s="10" t="s">
        <v>12</v>
      </c>
      <c r="B12" s="11">
        <v>11.0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6.0</v>
      </c>
      <c r="R12" s="10">
        <v>5.0</v>
      </c>
      <c r="S12" s="10"/>
      <c r="T12" s="10"/>
      <c r="U12" s="10"/>
      <c r="V12" s="10"/>
      <c r="W12" s="12">
        <f t="shared" si="1"/>
        <v>11</v>
      </c>
      <c r="X12" s="2"/>
      <c r="Y12" s="2"/>
      <c r="Z12" s="2"/>
      <c r="AA12" s="2"/>
      <c r="AB12" s="2"/>
    </row>
    <row r="13" ht="15.0" customHeight="1">
      <c r="A13" s="10" t="s">
        <v>13</v>
      </c>
      <c r="B13" s="11">
        <v>16.0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>
        <v>1.0</v>
      </c>
      <c r="S13" s="10">
        <v>6.0</v>
      </c>
      <c r="T13" s="10">
        <v>6.0</v>
      </c>
      <c r="U13" s="10">
        <v>3.0</v>
      </c>
      <c r="V13" s="10"/>
      <c r="W13" s="12">
        <f t="shared" si="1"/>
        <v>16</v>
      </c>
      <c r="X13" s="2"/>
      <c r="Y13" s="2"/>
      <c r="Z13" s="2"/>
      <c r="AA13" s="2"/>
      <c r="AB13" s="2"/>
    </row>
    <row r="14" ht="15.0" customHeight="1">
      <c r="A14" s="10" t="s">
        <v>14</v>
      </c>
      <c r="B14" s="11">
        <v>4.0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>
        <v>3.0</v>
      </c>
      <c r="V14" s="10">
        <v>1.0</v>
      </c>
      <c r="W14" s="12">
        <f t="shared" si="1"/>
        <v>4</v>
      </c>
      <c r="X14" s="2"/>
      <c r="Y14" s="2"/>
      <c r="Z14" s="2"/>
      <c r="AA14" s="2"/>
      <c r="AB14" s="2"/>
    </row>
    <row r="15" ht="15.0" customHeight="1">
      <c r="A15" s="10" t="s">
        <v>15</v>
      </c>
      <c r="B15" s="11">
        <v>6.0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>
        <v>6.0</v>
      </c>
      <c r="W15" s="12">
        <f t="shared" si="1"/>
        <v>6</v>
      </c>
      <c r="X15" s="2"/>
      <c r="Y15" s="2"/>
      <c r="Z15" s="2"/>
      <c r="AA15" s="2"/>
      <c r="AB15" s="2"/>
    </row>
    <row r="16" ht="15.0" customHeight="1">
      <c r="A16" s="10" t="s">
        <v>16</v>
      </c>
      <c r="B16" s="11"/>
      <c r="C16" s="10">
        <f t="shared" ref="C16:V16" si="2">SUM(C5:C15)</f>
        <v>6</v>
      </c>
      <c r="D16" s="10">
        <f t="shared" si="2"/>
        <v>6</v>
      </c>
      <c r="E16" s="10">
        <f t="shared" si="2"/>
        <v>6</v>
      </c>
      <c r="F16" s="10">
        <f t="shared" si="2"/>
        <v>6</v>
      </c>
      <c r="G16" s="10">
        <f t="shared" si="2"/>
        <v>6</v>
      </c>
      <c r="H16" s="10">
        <f t="shared" si="2"/>
        <v>6</v>
      </c>
      <c r="I16" s="10">
        <f t="shared" si="2"/>
        <v>6</v>
      </c>
      <c r="J16" s="10">
        <f t="shared" si="2"/>
        <v>6</v>
      </c>
      <c r="K16" s="10">
        <f t="shared" si="2"/>
        <v>6</v>
      </c>
      <c r="L16" s="10">
        <f t="shared" si="2"/>
        <v>6</v>
      </c>
      <c r="M16" s="10">
        <f t="shared" si="2"/>
        <v>6</v>
      </c>
      <c r="N16" s="10">
        <f t="shared" si="2"/>
        <v>6</v>
      </c>
      <c r="O16" s="10">
        <f t="shared" si="2"/>
        <v>6</v>
      </c>
      <c r="P16" s="10">
        <f t="shared" si="2"/>
        <v>6</v>
      </c>
      <c r="Q16" s="10">
        <f t="shared" si="2"/>
        <v>6</v>
      </c>
      <c r="R16" s="10">
        <f t="shared" si="2"/>
        <v>6</v>
      </c>
      <c r="S16" s="10">
        <f t="shared" si="2"/>
        <v>6</v>
      </c>
      <c r="T16" s="10">
        <f t="shared" si="2"/>
        <v>6</v>
      </c>
      <c r="U16" s="10">
        <f t="shared" si="2"/>
        <v>6</v>
      </c>
      <c r="V16" s="10">
        <f t="shared" si="2"/>
        <v>7</v>
      </c>
      <c r="W16" s="13">
        <f t="shared" si="1"/>
        <v>121</v>
      </c>
      <c r="X16" s="2"/>
      <c r="Y16" s="2"/>
      <c r="Z16" s="2"/>
      <c r="AA16" s="2"/>
      <c r="AB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5.0" customHeight="1">
      <c r="A18" s="14" t="s">
        <v>17</v>
      </c>
      <c r="B18" s="15">
        <f>SUM(B5:B17)</f>
        <v>121</v>
      </c>
      <c r="C18" s="15">
        <f t="shared" ref="C18:V18" si="3">B18-SUM(C5:C15)</f>
        <v>115</v>
      </c>
      <c r="D18" s="15">
        <f t="shared" si="3"/>
        <v>109</v>
      </c>
      <c r="E18" s="15">
        <f t="shared" si="3"/>
        <v>103</v>
      </c>
      <c r="F18" s="15">
        <f t="shared" si="3"/>
        <v>97</v>
      </c>
      <c r="G18" s="15">
        <f t="shared" si="3"/>
        <v>91</v>
      </c>
      <c r="H18" s="15">
        <f t="shared" si="3"/>
        <v>85</v>
      </c>
      <c r="I18" s="15">
        <f t="shared" si="3"/>
        <v>79</v>
      </c>
      <c r="J18" s="15">
        <f t="shared" si="3"/>
        <v>73</v>
      </c>
      <c r="K18" s="15">
        <f t="shared" si="3"/>
        <v>67</v>
      </c>
      <c r="L18" s="15">
        <f t="shared" si="3"/>
        <v>61</v>
      </c>
      <c r="M18" s="15">
        <f t="shared" si="3"/>
        <v>55</v>
      </c>
      <c r="N18" s="15">
        <f t="shared" si="3"/>
        <v>49</v>
      </c>
      <c r="O18" s="15">
        <f t="shared" si="3"/>
        <v>43</v>
      </c>
      <c r="P18" s="15">
        <f t="shared" si="3"/>
        <v>37</v>
      </c>
      <c r="Q18" s="15">
        <f t="shared" si="3"/>
        <v>31</v>
      </c>
      <c r="R18" s="15">
        <f t="shared" si="3"/>
        <v>25</v>
      </c>
      <c r="S18" s="15">
        <f t="shared" si="3"/>
        <v>19</v>
      </c>
      <c r="T18" s="15">
        <f t="shared" si="3"/>
        <v>13</v>
      </c>
      <c r="U18" s="15">
        <f t="shared" si="3"/>
        <v>7</v>
      </c>
      <c r="V18" s="15">
        <f t="shared" si="3"/>
        <v>0</v>
      </c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5.0" customHeight="1">
      <c r="A20" s="14" t="s">
        <v>18</v>
      </c>
      <c r="B20" s="15">
        <f>SUM(B5:B16)</f>
        <v>121</v>
      </c>
      <c r="C20" s="15">
        <f t="shared" ref="C20:V20" si="4">B20-(SUM($B$5:$B$16)/20)</f>
        <v>114.95</v>
      </c>
      <c r="D20" s="15">
        <f t="shared" si="4"/>
        <v>108.9</v>
      </c>
      <c r="E20" s="15">
        <f t="shared" si="4"/>
        <v>102.85</v>
      </c>
      <c r="F20" s="15">
        <f t="shared" si="4"/>
        <v>96.8</v>
      </c>
      <c r="G20" s="15">
        <f t="shared" si="4"/>
        <v>90.75</v>
      </c>
      <c r="H20" s="15">
        <f t="shared" si="4"/>
        <v>84.7</v>
      </c>
      <c r="I20" s="15">
        <f t="shared" si="4"/>
        <v>78.65</v>
      </c>
      <c r="J20" s="15">
        <f t="shared" si="4"/>
        <v>72.6</v>
      </c>
      <c r="K20" s="15">
        <f t="shared" si="4"/>
        <v>66.55</v>
      </c>
      <c r="L20" s="15">
        <f t="shared" si="4"/>
        <v>60.5</v>
      </c>
      <c r="M20" s="15">
        <f t="shared" si="4"/>
        <v>54.45</v>
      </c>
      <c r="N20" s="15">
        <f t="shared" si="4"/>
        <v>48.4</v>
      </c>
      <c r="O20" s="15">
        <f t="shared" si="4"/>
        <v>42.35</v>
      </c>
      <c r="P20" s="15">
        <f t="shared" si="4"/>
        <v>36.3</v>
      </c>
      <c r="Q20" s="15">
        <f t="shared" si="4"/>
        <v>30.25</v>
      </c>
      <c r="R20" s="15">
        <f t="shared" si="4"/>
        <v>24.2</v>
      </c>
      <c r="S20" s="15">
        <f t="shared" si="4"/>
        <v>18.15</v>
      </c>
      <c r="T20" s="15">
        <f t="shared" si="4"/>
        <v>12.1</v>
      </c>
      <c r="U20" s="15">
        <f t="shared" si="4"/>
        <v>6.05</v>
      </c>
      <c r="V20" s="15">
        <f t="shared" si="4"/>
        <v>0</v>
      </c>
      <c r="W20" s="2"/>
      <c r="X20" s="2"/>
      <c r="Y20" s="2"/>
      <c r="Z20" s="2"/>
      <c r="AA20" s="2"/>
      <c r="AB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0" customHeight="1">
      <c r="A22" s="2"/>
      <c r="B22" s="1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0" customHeight="1">
      <c r="A23" s="2"/>
      <c r="B23" s="16"/>
      <c r="C23" s="2"/>
      <c r="D23" s="2"/>
      <c r="E23" s="2"/>
      <c r="F23" s="2"/>
      <c r="G23" s="1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0" customHeight="1">
      <c r="A24" s="2"/>
      <c r="B24" s="16"/>
      <c r="C24" s="2"/>
      <c r="D24" s="2"/>
      <c r="E24" s="2"/>
      <c r="F24" s="2"/>
      <c r="G24" s="1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0" customHeight="1">
      <c r="A25" s="2"/>
      <c r="B25" s="16"/>
      <c r="C25" s="2"/>
      <c r="D25" s="2"/>
      <c r="E25" s="2"/>
      <c r="F25" s="2"/>
      <c r="G25" s="1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0" customHeight="1">
      <c r="A26" s="2"/>
      <c r="B26" s="16"/>
      <c r="C26" s="2"/>
      <c r="D26" s="2"/>
      <c r="E26" s="2"/>
      <c r="F26" s="2"/>
      <c r="G26" s="1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2"/>
      <c r="B27" s="16"/>
      <c r="C27" s="2"/>
      <c r="D27" s="2"/>
      <c r="E27" s="2"/>
      <c r="F27" s="2"/>
      <c r="G27" s="1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2"/>
      <c r="B28" s="16"/>
      <c r="C28" s="2"/>
      <c r="D28" s="2"/>
      <c r="E28" s="2"/>
      <c r="F28" s="2"/>
      <c r="G28" s="1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2"/>
      <c r="B29" s="1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2"/>
      <c r="B30" s="1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2"/>
      <c r="B31" s="1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4"/>
    <mergeCell ref="B3:B4"/>
    <mergeCell ref="C3:V3"/>
    <mergeCell ref="W3:W4"/>
  </mergeCells>
  <conditionalFormatting sqref="W5:W15">
    <cfRule type="expression" dxfId="0" priority="1">
      <formula>W5&lt;&gt;B5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